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38e885ef5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76c67289d74837"/>
    <x:sheet xmlns:r="http://schemas.openxmlformats.org/officeDocument/2006/relationships" name="Recommended_10" sheetId="2" r:id="Rb2fed4692b5a4122"/>
    <x:sheet xmlns:r="http://schemas.openxmlformats.org/officeDocument/2006/relationships" name="Top10_Quick_View" sheetId="3" r:id="R78ead491710d4dcb"/>
    <x:sheet xmlns:r="http://schemas.openxmlformats.org/officeDocument/2006/relationships" name="Outreach" sheetId="4" r:id="Re3e00110af4246f0"/>
    <x:sheet xmlns:r="http://schemas.openxmlformats.org/officeDocument/2006/relationships" name="Platform_Checklist" sheetId="5" r:id="Rb77e7bbeadc04498"/>
    <x:sheet xmlns:r="http://schemas.openxmlformats.org/officeDocument/2006/relationships" name="Backup_Candidates" sheetId="6" r:id="R68be99b41d66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D3A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D3A"/>
      </x:patternFill>
    </x:fill>
    <x:fill>
      <x:patternFill patternType="solid">
        <x:fgColor rgb="FFE7F1EE"/>
      </x:patternFill>
    </x:fill>
  </x:fills>
  <x:borders count="3">
    <x:border/>
    <x:border>
      <x:left style="thin">
        <x:color rgb="FFC9D5D2"/>
      </x:left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left style="thin">
        <x:color rgb="FFD7E0DD"/>
      </x:left>
      <x:right style="thin">
        <x:color rgb="FFD7E0DD"/>
      </x:right>
      <x:top style="thin">
        <x:color rgb="FFD7E0DD"/>
      </x:top>
      <x:bottom style="thin">
        <x:color rgb="FFD7E0DD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 applyAlignment="1">
      <x:alignment horizontal="center"/>
    </x:xf>
    <x:xf numFmtId="202" fontId="0" fillId="0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786585b894339" /><Relationship Type="http://schemas.openxmlformats.org/officeDocument/2006/relationships/theme" Target="/xl/theme/theme1.xml" Id="Ra85666da3f6b4dec" /><Relationship Type="http://schemas.openxmlformats.org/officeDocument/2006/relationships/sharedStrings" Target="/xl/sharedStrings.xml" Id="Rc79dd73b753b43cb" /><Relationship Type="http://schemas.openxmlformats.org/officeDocument/2006/relationships/worksheet" Target="/xl/worksheets/sheet1.xml" Id="R7376c67289d74837" /><Relationship Type="http://schemas.openxmlformats.org/officeDocument/2006/relationships/worksheet" Target="/xl/worksheets/sheet2.xml" Id="Rb2fed4692b5a4122" /><Relationship Type="http://schemas.openxmlformats.org/officeDocument/2006/relationships/worksheet" Target="/xl/worksheets/sheet3.xml" Id="R78ead491710d4dcb" /><Relationship Type="http://schemas.openxmlformats.org/officeDocument/2006/relationships/worksheet" Target="/xl/worksheets/sheet4.xml" Id="Re3e00110af4246f0" /><Relationship Type="http://schemas.openxmlformats.org/officeDocument/2006/relationships/worksheet" Target="/xl/worksheets/sheet5.xml" Id="Rb77e7bbeadc04498" /><Relationship Type="http://schemas.openxmlformats.org/officeDocument/2006/relationships/worksheet" Target="/xl/worksheets/sheet6.xml" Id="R68be99b41d6645fc" /></Relationships>
</file>

<file path=xl/tables/table1.xml><?xml version="1.0" encoding="utf-8"?>
<x:table xmlns:x="http://schemas.openxmlformats.org/spreadsheetml/2006/main" id="1" name="RecommendedCreators" displayName="RecommendedCreators" ref="A1:Z11" headerRowCount="1">
  <x:tableColumns count="26">
    <x:tableColumn id="1" name="Rank"/>
    <x:tableColumn id="2" name="Creator"/>
    <x:tableColumn id="3" name="Handle"/>
    <x:tableColumn id="4" name="Tier"/>
    <x:tableColumn id="5" name="Location / Market"/>
    <x:tableColumn id="6" name="Platforms"/>
    <x:tableColumn id="7" name="Follower / Data Signal"/>
    <x:tableColumn id="8" name="Public Contact"/>
    <x:tableColumn id="9" name="Contact Route"/>
    <x:tableColumn id="10" name="Content Fit"/>
    <x:tableColumn id="11" name="Visual Fit"/>
    <x:tableColumn id="12" name="US Fit"/>
    <x:tableColumn id="13" name="Reach"/>
    <x:tableColumn id="14" name="Contactability"/>
    <x:tableColumn id="15" name="Cost Efficiency"/>
    <x:tableColumn id="16" name="Weighted Score"/>
    <x:tableColumn id="17" name="Lash Fit"/>
    <x:tableColumn id="18" name="Why Selected"/>
    <x:tableColumn id="19" name="Evidence"/>
    <x:tableColumn id="20" name="Source 1"/>
    <x:tableColumn id="21" name="Source 2"/>
    <x:tableColumn id="22" name="Source 3"/>
    <x:tableColumn id="23" name="FastMoss / Kalodata Check"/>
    <x:tableColumn id="24" name="Outreach Status"/>
    <x:tableColumn id="25" name="Owner"/>
    <x:tableColumn id="2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QuickView" displayName="QuickView" ref="A1:K11" headerRowCount="1">
  <x:tableColumns count="11">
    <x:tableColumn id="1" name="Rank"/>
    <x:tableColumn id="2" name="Creator"/>
    <x:tableColumn id="3" name="Handle"/>
    <x:tableColumn id="4" name="Tier"/>
    <x:tableColumn id="5" name="Public Contact"/>
    <x:tableColumn id="6" name="Weighted Score"/>
    <x:tableColumn id="7" name="Lash Fit"/>
    <x:tableColumn id="8" name="Best Use"/>
    <x:tableColumn id="9" name="Key Reason"/>
    <x:tableColumn id="10" name="Primary Source"/>
    <x:tableColumn id="11" name="Need Platform Check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cce9af6c6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12966059a643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.380001068115234" hidden="0" customWidth="1"/>
    <x:col min="2" max="2" width="40" hidden="0" customWidth="1"/>
    <x:col min="3" max="3" width="43" hidden="0" customWidth="1"/>
    <x:col min="4" max="4" width="38.130001068115234" hidden="0" customWidth="1"/>
  </x:cols>
  <x:sheetData>
    <x:row r="1">
      <x:c r="A1" s="3" t="str">
        <x:v>US TikTok Male Beauty Creator Shortlist for False Lashes</x:v>
      </x:c>
    </x:row>
    <x:row r="3">
      <x:c r="A3" s="5" t="str">
        <x:v>Requester</x:v>
      </x:c>
      <x:c r="B3" s="6" t="str">
        <x:v>TK cross-border ecommerce US BD</x:v>
      </x:c>
    </x:row>
    <x:row r="4">
      <x:c r="A4" s="5" t="str">
        <x:v>Objective</x:v>
      </x:c>
      <x:c r="B4" s="6" t="str">
        <x:v>Find 10 male beauty / grooming / UGC creators suitable for false lash product outreach</x:v>
      </x:c>
    </x:row>
    <x:row r="5">
      <x:c r="A5" s="5" t="str">
        <x:v>Primary platforms checked</x:v>
      </x:c>
      <x:c r="B5" s="6" t="str">
        <x:v>FastMoss and Kalodata opened; public pages accessible, internal creator database requires login for full filtering</x:v>
      </x:c>
    </x:row>
    <x:row r="6">
      <x:c r="A6" s="5" t="str">
        <x:v>Research method</x:v>
      </x:c>
      <x:c r="B6" s="6" t="str">
        <x:v>Public web search + AnySearch + platform public landing pages; all contacts are public or platform-route only</x:v>
      </x:c>
    </x:row>
    <x:row r="7">
      <x:c r="A7" s="5" t="str">
        <x:v>Privacy boundary</x:v>
      </x:c>
      <x:c r="B7" s="6" t="str">
        <x:v>No private contact scraping; use only public emails, agency contacts, platform booking routes, or DM</x:v>
      </x:c>
    </x:row>
    <x:row r="8">
      <x:c r="A8" s="5" t="str">
        <x:v>Best first test mix</x:v>
      </x:c>
      <x:c r="B8" s="6" t="str">
        <x:v>3 educator/glam KOLs + 3 mid-tier beauty personalities + 4 UGC/KOC creators</x:v>
      </x:c>
    </x:row>
    <x:row r="9">
      <x:c r="A9" s="5" t="str">
        <x:v>Next required action</x:v>
      </x:c>
      <x:c r="B9" s="6" t="str">
        <x:v>Log into FastMoss/Kalodata and validate recent 30-day views, audience location, engagement, and TikTok Shop affiliate data</x:v>
      </x:c>
    </x:row>
    <x:row r="10">
      <x:c r="A10" s="5" t="str">
        <x:v>Generated date</x:v>
      </x:c>
      <x:c r="B10" s="7" t="n">
        <x:v>46198.166403854164</x:v>
      </x:c>
    </x:row>
    <x:row r="12">
      <x:c r="A12" s="10" t="str">
        <x:v>Score Component</x:v>
      </x:c>
      <x:c r="B12" s="10" t="str">
        <x:v>Weight</x:v>
      </x:c>
      <x:c r="C12" s="10" t="str">
        <x:v>Meaning</x:v>
      </x:c>
      <x:c r="D12" s="10" t="str">
        <x:v>Notes</x:v>
      </x:c>
    </x:row>
    <x:row r="13">
      <x:c r="A13" s="11" t="str">
        <x:v>Content fit</x:v>
      </x:c>
      <x:c r="B13" s="12" t="n">
        <x:v>0.25</x:v>
      </x:c>
      <x:c r="C13" s="11" t="str">
        <x:v>Makeup / beauty / eye-product relevance</x:v>
      </x:c>
      <x:c r="D13" s="11" t="str">
        <x:v>Higher if creator already teaches makeup or glam</x:v>
      </x:c>
    </x:row>
    <x:row r="14">
      <x:c r="A14" s="11" t="str">
        <x:v>Visual/camera fit</x:v>
      </x:c>
      <x:c r="B14" s="12" t="n">
        <x:v>0.15</x:v>
      </x:c>
      <x:c r="C14" s="11" t="str">
        <x:v>On-camera aesthetic and beauty-product presentation fit</x:v>
      </x:c>
      <x:c r="D14" s="11" t="str">
        <x:v>Professional shorthand, not a protected-trait score</x:v>
      </x:c>
    </x:row>
    <x:row r="15">
      <x:c r="A15" s="11" t="str">
        <x:v>US market fit</x:v>
      </x:c>
      <x:c r="B15" s="12" t="n">
        <x:v>0.15</x:v>
      </x:c>
      <x:c r="C15" s="11" t="str">
        <x:v>US audience or North America relevance</x:v>
      </x:c>
      <x:c r="D15" s="11" t="str">
        <x:v>Important for US TikTok Shop BD</x:v>
      </x:c>
    </x:row>
    <x:row r="16">
      <x:c r="A16" s="11" t="str">
        <x:v>Reach</x:v>
      </x:c>
      <x:c r="B16" s="12" t="n">
        <x:v>0.15</x:v>
      </x:c>
      <x:c r="C16" s="11" t="str">
        <x:v>Scale of visible audience signal</x:v>
      </x:c>
      <x:c r="D16" s="11" t="str">
        <x:v>Needs FastMoss/Kalodata verification</x:v>
      </x:c>
    </x:row>
    <x:row r="17">
      <x:c r="A17" s="11" t="str">
        <x:v>Contactability</x:v>
      </x:c>
      <x:c r="B17" s="12" t="n">
        <x:v>0.15</x:v>
      </x:c>
      <x:c r="C17" s="11" t="str">
        <x:v>Public email / agency / platform route</x:v>
      </x:c>
      <x:c r="D17" s="11" t="str">
        <x:v>Private data not used</x:v>
      </x:c>
    </x:row>
    <x:row r="18">
      <x:c r="A18" s="11" t="str">
        <x:v>Cost efficiency</x:v>
      </x:c>
      <x:c r="B18" s="12" t="n">
        <x:v>0.15</x:v>
      </x:c>
      <x:c r="C18" s="11" t="str">
        <x:v>Likely BD feasibility</x:v>
      </x:c>
      <x:c r="D18" s="11" t="str">
        <x:v>UGC/KOC usually scores higher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30" hidden="0" customWidth="1"/>
    <x:col min="9" max="9" width="30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8" max="18" width="46" hidden="0" customWidth="1"/>
    <x:col min="19" max="19" width="46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>
      <x:c r="A1" s="15" t="str">
        <x:v>Rank</x:v>
      </x:c>
      <x:c r="B1" s="15" t="str">
        <x:v>Creator</x:v>
      </x:c>
      <x:c r="C1" s="15" t="str">
        <x:v>Handle</x:v>
      </x:c>
      <x:c r="D1" s="15" t="str">
        <x:v>Tier</x:v>
      </x:c>
      <x:c r="E1" s="15" t="str">
        <x:v>Location / Market</x:v>
      </x:c>
      <x:c r="F1" s="15" t="str">
        <x:v>Platforms</x:v>
      </x:c>
      <x:c r="G1" s="15" t="str">
        <x:v>Follower / Data Signal</x:v>
      </x:c>
      <x:c r="H1" s="15" t="str">
        <x:v>Public Contact</x:v>
      </x:c>
      <x:c r="I1" s="15" t="str">
        <x:v>Contact Route</x:v>
      </x:c>
      <x:c r="J1" s="15" t="str">
        <x:v>Content Fit</x:v>
      </x:c>
      <x:c r="K1" s="15" t="str">
        <x:v>Visual Fit</x:v>
      </x:c>
      <x:c r="L1" s="15" t="str">
        <x:v>US Fit</x:v>
      </x:c>
      <x:c r="M1" s="15" t="str">
        <x:v>Reach</x:v>
      </x:c>
      <x:c r="N1" s="15" t="str">
        <x:v>Contactability</x:v>
      </x:c>
      <x:c r="O1" s="15" t="str">
        <x:v>Cost Efficiency</x:v>
      </x:c>
      <x:c r="P1" s="15" t="str">
        <x:v>Weighted Score</x:v>
      </x:c>
      <x:c r="Q1" s="15" t="str">
        <x:v>Lash Fit</x:v>
      </x:c>
      <x:c r="R1" s="15" t="str">
        <x:v>Why Selected</x:v>
      </x:c>
      <x:c r="S1" s="15" t="str">
        <x:v>Evidence</x:v>
      </x:c>
      <x:c r="T1" s="15" t="str">
        <x:v>Source 1</x:v>
      </x:c>
      <x:c r="U1" s="15" t="str">
        <x:v>Source 2</x:v>
      </x:c>
      <x:c r="V1" s="15" t="str">
        <x:v>Source 3</x:v>
      </x:c>
      <x:c r="W1" s="15" t="str">
        <x:v>FastMoss / Kalodata Check</x:v>
      </x:c>
      <x:c r="X1" s="15" t="str">
        <x:v>Outreach Status</x:v>
      </x:c>
      <x:c r="Y1" s="15" t="str">
        <x:v>Owner</x:v>
      </x:c>
      <x:c r="Z1" s="15" t="str">
        <x:v>Notes</x:v>
      </x:c>
    </x:row>
    <x:row r="2">
      <x:c r="A2" s="16" t="n">
        <x:v>1</x:v>
      </x:c>
      <x:c r="B2" s="16" t="str">
        <x:v>Trevor Barrett</x:v>
      </x:c>
      <x:c r="C2" s="16" t="str">
        <x:v>@trevorbarrett</x:v>
      </x:c>
      <x:c r="D2" s="16" t="str">
        <x:v>KOL / educator</x:v>
      </x:c>
      <x:c r="E2" s="16" t="str">
        <x:v>US, NYC/PA</x:v>
      </x:c>
      <x:c r="F2" s="16" t="str">
        <x:v>TikTok, Instagram, Threads</x:v>
      </x:c>
      <x:c r="G2" s="17" t="str">
        <x:v>TikTok public page: 2.2M followers; 34.9M likes</x:v>
      </x:c>
      <x:c r="H2" s="17" t="str">
        <x:v>trevor@thelilacagency.com</x:v>
      </x:c>
      <x:c r="I2" s="17" t="str">
        <x:v>Agency email / TikTok bio / Threads bio</x:v>
      </x:c>
      <x:c r="J2" s="18" t="n">
        <x:v>5</x:v>
      </x:c>
      <x:c r="K2" s="18" t="n">
        <x:v>5</x:v>
      </x:c>
      <x:c r="L2" s="18" t="n">
        <x:v>5</x:v>
      </x:c>
      <x:c r="M2" s="18" t="n">
        <x:v>5</x:v>
      </x:c>
      <x:c r="N2" s="18" t="n">
        <x:v>5</x:v>
      </x:c>
      <x:c r="O2" s="18" t="n">
        <x:v>3</x:v>
      </x:c>
      <x:c r="P2" s="19" t="n">
        <x:f>ROUND((J2*25+K2*15+L2*15+M2*15+N2*15+O2*15)/5,1)</x:f>
        <x:v>94</x:v>
      </x:c>
      <x:c r="Q2" s="16" t="str">
        <x:v>Very high</x:v>
      </x:c>
      <x:c r="R2" s="17" t="str">
        <x:v>Makeup teacher positioning is ideal for tutorial-led false lash content: application, beginner tips, lash style comparisons, and problem-solution demos.</x:v>
      </x:c>
      <x:c r="S2" s="17" t="str">
        <x:v>TikTok bio says Makeup Teacher; agency/search results show beauty creator and makeup artistry positioning.</x:v>
      </x:c>
      <x:c r="T2" s="17" t="str">
        <x:v>https://www.tiktok.com/@trevorbarrett</x:v>
      </x:c>
      <x:c r="U2" s="17" t="str">
        <x:v>https://www.thelilacagency.com/creators-1/pau-fabio-ade3h</x:v>
      </x:c>
      <x:c r="V2" s="17" t="str">
        <x:v>https://themakeupshow.com/speakers/trevor-barrett/</x:v>
      </x:c>
      <x:c r="W2" s="17" t="str">
        <x:v>Verify recent 30-day beauty video views, US female audience share, lash/eye content history, and commerce conversion on FastMoss/Kalodata.</x:v>
      </x:c>
      <x:c r="X2" s="16" t="str">
        <x:v>Not contacted</x:v>
      </x:c>
      <x:c r="Y2" s="16" t="str"/>
      <x:c r="Z2" s="16" t="str"/>
    </x:row>
    <x:row r="3">
      <x:c r="A3" s="16" t="n">
        <x:v>2</x:v>
      </x:c>
      <x:c r="B3" s="16" t="str">
        <x:v>Brayan</x:v>
      </x:c>
      <x:c r="C3" s="16" t="str">
        <x:v>@brayannbc</x:v>
      </x:c>
      <x:c r="D3" s="16" t="str">
        <x:v>KOL / beauty MUA</x:v>
      </x:c>
      <x:c r="E3" s="16" t="str">
        <x:v>US-based, Spanish-speaking audience</x:v>
      </x:c>
      <x:c r="F3" s="16" t="str">
        <x:v>TikTok, Instagram, Facebook</x:v>
      </x:c>
      <x:c r="G3" s="17" t="str">
        <x:v>Favikon: 3.6M+ across TikTok and Instagram; Instagram search result shows 2M followers</x:v>
      </x:c>
      <x:c r="H3" s="17" t="str">
        <x:v>bbc.business@hotmail.com</x:v>
      </x:c>
      <x:c r="I3" s="17" t="str">
        <x:v>TikTok bio / Instagram bio / Facebook public contact</x:v>
      </x:c>
      <x:c r="J3" s="18" t="n">
        <x:v>5</x:v>
      </x:c>
      <x:c r="K3" s="18" t="n">
        <x:v>5</x:v>
      </x:c>
      <x:c r="L3" s="18" t="n">
        <x:v>5</x:v>
      </x:c>
      <x:c r="M3" s="18" t="n">
        <x:v>5</x:v>
      </x:c>
      <x:c r="N3" s="18" t="n">
        <x:v>5</x:v>
      </x:c>
      <x:c r="O3" s="18" t="n">
        <x:v>3</x:v>
      </x:c>
      <x:c r="P3" s="19" t="n">
        <x:f>ROUND((J3*25+K3*15+L3*15+M3*15+N3*15+O3*15)/5,1)</x:f>
        <x:v>94</x:v>
      </x:c>
      <x:c r="Q3" s="16" t="str">
        <x:v>Very high</x:v>
      </x:c>
      <x:c r="R3" s="17" t="str">
        <x:v>Dynamic makeup tutorials and product reviews fit lash transformation content; Spanish/Latino US audience can broaden US TikTok Shop reach.</x:v>
      </x:c>
      <x:c r="S3" s="17" t="str">
        <x:v>Public TikTok and Instagram snippets show beauty creator/MUA positioning and business email.</x:v>
      </x:c>
      <x:c r="T3" s="17" t="str">
        <x:v>https://www.tiktok.com/@brayannbc</x:v>
      </x:c>
      <x:c r="U3" s="17" t="str">
        <x:v>https://www.favikon.com/blog/who-is-brayan-aka-brayannbc</x:v>
      </x:c>
      <x:c r="V3" s="17" t="str">
        <x:v>https://www.instagram.com/brayannbc/</x:v>
      </x:c>
      <x:c r="W3" s="17" t="str">
        <x:v>Verify US audience mix, beauty category performance, recent sponsored content, and TikTok Shop affiliate history.</x:v>
      </x:c>
      <x:c r="X3" s="16" t="str">
        <x:v>Not contacted</x:v>
      </x:c>
      <x:c r="Y3" s="16" t="str"/>
      <x:c r="Z3" s="16" t="str"/>
    </x:row>
    <x:row r="4">
      <x:c r="A4" s="16" t="n">
        <x:v>3</x:v>
      </x:c>
      <x:c r="B4" s="16" t="str">
        <x:v>Aditya Madiraju</x:v>
      </x:c>
      <x:c r="C4" s="16" t="str">
        <x:v>@adityamadiraju</x:v>
      </x:c>
      <x:c r="D4" s="16" t="str">
        <x:v>KOL / certified MUA</x:v>
      </x:c>
      <x:c r="E4" s="16" t="str">
        <x:v>US, New Jersey</x:v>
      </x:c>
      <x:c r="F4" s="16" t="str">
        <x:v>Instagram, TikTok, ShopMy</x:v>
      </x:c>
      <x:c r="G4" s="17" t="str">
        <x:v>Instagram public result: 3M followers; Beauty Independent/People report 5M across platforms</x:v>
      </x:c>
      <x:c r="H4" s="17" t="str">
        <x:v>haley.walsh@thedigitalbrandarchitects.com</x:v>
      </x:c>
      <x:c r="I4" s="17" t="str">
        <x:v>Instagram bio / management email</x:v>
      </x:c>
      <x:c r="J4" s="18" t="n">
        <x:v>5</x:v>
      </x:c>
      <x:c r="K4" s="18" t="n">
        <x:v>5</x:v>
      </x:c>
      <x:c r="L4" s="18" t="n">
        <x:v>5</x:v>
      </x:c>
      <x:c r="M4" s="18" t="n">
        <x:v>5</x:v>
      </x:c>
      <x:c r="N4" s="18" t="n">
        <x:v>5</x:v>
      </x:c>
      <x:c r="O4" s="18" t="n">
        <x:v>2</x:v>
      </x:c>
      <x:c r="P4" s="19" t="n">
        <x:f>ROUND((J4*25+K4*15+L4*15+M4*15+N4*15+O4*15)/5,1)</x:f>
        <x:v>91</x:v>
      </x:c>
      <x:c r="Q4" s="16" t="str">
        <x:v>Very high</x:v>
      </x:c>
      <x:c r="R4" s="17" t="str">
        <x:v>Full-glam and technique-led makeup content is a direct match for false lash education, before-after, and premium beauty storytelling.</x:v>
      </x:c>
      <x:c r="S4" s="17" t="str">
        <x:v>Public profile describes him as Makeup Nerd and certified makeup artist; brand partnership email is public.</x:v>
      </x:c>
      <x:c r="T4" s="17" t="str">
        <x:v>https://www.instagram.com/adityamadiraju/</x:v>
      </x:c>
      <x:c r="U4" s="17" t="str">
        <x:v>https://www.beautyindependent.com/aditya-madiraju-brand-deal-red-flags-ai-content-creators-influence-endures/</x:v>
      </x:c>
      <x:c r="V4" s="17" t="str">
        <x:v>https://shopmy.us/shop/adityamadiraju</x:v>
      </x:c>
      <x:c r="W4" s="17" t="str">
        <x:v>Verify audience age/gender, short-video views on eye looks, and expected CPM/fee before outreach.</x:v>
      </x:c>
      <x:c r="X4" s="16" t="str">
        <x:v>Not contacted</x:v>
      </x:c>
      <x:c r="Y4" s="16" t="str"/>
      <x:c r="Z4" s="16" t="str"/>
    </x:row>
    <x:row r="5">
      <x:c r="A5" s="16" t="n">
        <x:v>4</x:v>
      </x:c>
      <x:c r="B5" s="16" t="str">
        <x:v>Abdullah Zaidi</x:v>
      </x:c>
      <x:c r="C5" s="16" t="str">
        <x:v>@thisguyabdullah</x:v>
      </x:c>
      <x:c r="D5" s="16" t="str">
        <x:v>Emerging KOL / beauty-comedy crossover</x:v>
      </x:c>
      <x:c r="E5" s="16" t="str">
        <x:v>Toronto, North America</x:v>
      </x:c>
      <x:c r="F5" s="16" t="str">
        <x:v>TikTok, Instagram</x:v>
      </x:c>
      <x:c r="G5" s="17" t="str">
        <x:v>Instagram public result: 702K followers; press covers beauty creator positioning</x:v>
      </x:c>
      <x:c r="H5" s="17" t="str">
        <x:v>management@thisguyabdullah.com</x:v>
      </x:c>
      <x:c r="I5" s="17" t="str">
        <x:v>Instagram bio / management email</x:v>
      </x:c>
      <x:c r="J5" s="18" t="n">
        <x:v>4</x:v>
      </x:c>
      <x:c r="K5" s="18" t="n">
        <x:v>5</x:v>
      </x:c>
      <x:c r="L5" s="18" t="n">
        <x:v>4</x:v>
      </x:c>
      <x:c r="M5" s="18" t="n">
        <x:v>4</x:v>
      </x:c>
      <x:c r="N5" s="18" t="n">
        <x:v>5</x:v>
      </x:c>
      <x:c r="O5" s="18" t="n">
        <x:v>4</x:v>
      </x:c>
      <x:c r="P5" s="19" t="n">
        <x:f>ROUND((J5*25+K5*15+L5*15+M5*15+N5*15+O5*15)/5,1)</x:f>
        <x:v>86</x:v>
      </x:c>
      <x:c r="Q5" s="16" t="str">
        <x:v>High</x:v>
      </x:c>
      <x:c r="R5" s="17" t="str">
        <x:v>Straight male beauty journey angle can reduce category barriers and make false lashes feel approachable for broader Gen Z audiences.</x:v>
      </x:c>
      <x:c r="S5" s="17" t="str">
        <x:v>Press coverage frames him as a comedy creator turned beauty influencer; public Instagram management email available.</x:v>
      </x:c>
      <x:c r="T5" s="17" t="str">
        <x:v>https://www.instagram.com/thisguyabdullah/</x:v>
      </x:c>
      <x:c r="U5" s="17" t="str">
        <x:v>https://adage.com/influencers-creators/aa-creator-beauty-influencer-tmobile-coachella/</x:v>
      </x:c>
      <x:c r="V5" s="17" t="str">
        <x:v>https://thisguyabdullah.com/</x:v>
      </x:c>
      <x:c r="W5" s="17" t="str">
        <x:v>Verify US follower share, beauty video engagement, and whether lash content fits his current content tone.</x:v>
      </x:c>
      <x:c r="X5" s="16" t="str">
        <x:v>Not contacted</x:v>
      </x:c>
      <x:c r="Y5" s="16" t="str"/>
      <x:c r="Z5" s="16" t="str"/>
    </x:row>
    <x:row r="6">
      <x:c r="A6" s="16" t="n">
        <x:v>5</x:v>
      </x:c>
      <x:c r="B6" s="16" t="str">
        <x:v>CheckoutJon / Jon Richardson</x:v>
      </x:c>
      <x:c r="C6" s="16" t="str">
        <x:v>@CheckoutJon</x:v>
      </x:c>
      <x:c r="D6" s="16" t="str">
        <x:v>KOC / grooming-beauty creator</x:v>
      </x:c>
      <x:c r="E6" s="16" t="str">
        <x:v>US</x:v>
      </x:c>
      <x:c r="F6" s="16" t="str">
        <x:v>TikTok, Instagram, website</x:v>
      </x:c>
      <x:c r="G6" s="17" t="str">
        <x:v>Partnership page: 222K TikTok followers, 42K Instagram followers, 20-50M weekly reach claim</x:v>
      </x:c>
      <x:c r="H6" s="17" t="str">
        <x:v>Jon@Checkoutjon.com</x:v>
      </x:c>
      <x:c r="I6" s="17" t="str">
        <x:v>Website contact / partnership page</x:v>
      </x:c>
      <x:c r="J6" s="18" t="n">
        <x:v>4</x:v>
      </x:c>
      <x:c r="K6" s="18" t="n">
        <x:v>4</x:v>
      </x:c>
      <x:c r="L6" s="18" t="n">
        <x:v>5</x:v>
      </x:c>
      <x:c r="M6" s="18" t="n">
        <x:v>4</x:v>
      </x:c>
      <x:c r="N6" s="18" t="n">
        <x:v>5</x:v>
      </x:c>
      <x:c r="O6" s="18" t="n">
        <x:v>5</x:v>
      </x:c>
      <x:c r="P6" s="19" t="n">
        <x:f>ROUND((J6*25+K6*15+L6*15+M6*15+N6*15+O6*15)/5,1)</x:f>
        <x:v>89</x:v>
      </x:c>
      <x:c r="Q6" s="16" t="str">
        <x:v>Medium-high</x:v>
      </x:c>
      <x:c r="R6" s="17" t="str">
        <x:v>Male self-care and grooming angle is useful for soft-launching lashes as confidence/self-care rather than only glam makeup.</x:v>
      </x:c>
      <x:c r="S6" s="17" t="str">
        <x:v>Own site positions him around beauty, grooming, skincare, travel, and lifestyle with public partnership contact.</x:v>
      </x:c>
      <x:c r="T6" s="17" t="str">
        <x:v>https://www.checkoutjon.com/partnerships</x:v>
      </x:c>
      <x:c r="U6" s="17" t="str">
        <x:v>https://www.checkoutjon.com/contact</x:v>
      </x:c>
      <x:c r="V6" s="17" t="str">
        <x:v>https://www.checkoutjon.com/checkoutjon</x:v>
      </x:c>
      <x:c r="W6" s="17" t="str">
        <x:v>Verify whether recent audience responds to makeup/eye-product content, not only skincare and grooming.</x:v>
      </x:c>
      <x:c r="X6" s="16" t="str">
        <x:v>Not contacted</x:v>
      </x:c>
      <x:c r="Y6" s="16" t="str"/>
      <x:c r="Z6" s="16" t="str"/>
    </x:row>
    <x:row r="7">
      <x:c r="A7" s="16" t="n">
        <x:v>6</x:v>
      </x:c>
      <x:c r="B7" s="16" t="str">
        <x:v>Seth O'Brien</x:v>
      </x:c>
      <x:c r="C7" s="16" t="str">
        <x:v>@sethobrien</x:v>
      </x:c>
      <x:c r="D7" s="16" t="str">
        <x:v>KOL / beauty personality</x:v>
      </x:c>
      <x:c r="E7" s="16" t="str">
        <x:v>US</x:v>
      </x:c>
      <x:c r="F7" s="16" t="str">
        <x:v>TikTok, Instagram, YouTube</x:v>
      </x:c>
      <x:c r="G7" s="17" t="str">
        <x:v>Sportskeeda/GlamCode: 5M+ TikTok followers; Fashion Monitor notes strong TikTok likes and Instagram presence</x:v>
      </x:c>
      <x:c r="H7" s="17" t="str">
        <x:v>Platform DM; public email requires identity verification</x:v>
      </x:c>
      <x:c r="I7" s="17" t="str">
        <x:v>TikTok/Instagram DM or agency lookup</x:v>
      </x:c>
      <x:c r="J7" s="18" t="n">
        <x:v>5</x:v>
      </x:c>
      <x:c r="K7" s="18" t="n">
        <x:v>5</x:v>
      </x:c>
      <x:c r="L7" s="18" t="n">
        <x:v>5</x:v>
      </x:c>
      <x:c r="M7" s="18" t="n">
        <x:v>5</x:v>
      </x:c>
      <x:c r="N7" s="18" t="n">
        <x:v>2</x:v>
      </x:c>
      <x:c r="O7" s="18" t="n">
        <x:v>3</x:v>
      </x:c>
      <x:c r="P7" s="19" t="n">
        <x:f>ROUND((J7*25+K7*15+L7*15+M7*15+N7*15+O7*15)/5,1)</x:f>
        <x:v>85</x:v>
      </x:c>
      <x:c r="Q7" s="16" t="str">
        <x:v>Very high</x:v>
      </x:c>
      <x:c r="R7" s="17" t="str">
        <x:v>Beauty and makeup tutorial/comedy content can make false lash demos entertaining and viral-friendly.</x:v>
      </x:c>
      <x:c r="S7" s="17" t="str">
        <x:v>Multiple public profiles describe him as a beauty and makeup enthusiast with large TikTok following.</x:v>
      </x:c>
      <x:c r="T7" s="17" t="str">
        <x:v>https://wiki.sportskeeda.com/tiktok/who-is-seth-obrien</x:v>
      </x:c>
      <x:c r="U7" s="17" t="str">
        <x:v>https://www.fashionmonitor.com/blog/Tmz/10-beauty-tik-tokers-you-should-follow</x:v>
      </x:c>
      <x:c r="V7" s="17" t="str">
        <x:v>https://glamcodemedia.com/seth-obrien-biography-career-age-family-networth/</x:v>
      </x:c>
      <x:c r="W7" s="17" t="str">
        <x:v>Confirm official current handle, business contact, US audience share, and recent makeup/lash content before outreach.</x:v>
      </x:c>
      <x:c r="X7" s="16" t="str">
        <x:v>Not contacted</x:v>
      </x:c>
      <x:c r="Y7" s="16" t="str"/>
      <x:c r="Z7" s="16" t="str"/>
    </x:row>
    <x:row r="8">
      <x:c r="A8" s="16" t="n">
        <x:v>7</x:v>
      </x:c>
      <x:c r="B8" s="16" t="str">
        <x:v>Painted by Spencer / Spencer Hedges</x:v>
      </x:c>
      <x:c r="C8" s="16" t="str">
        <x:v>@paintedbyspencer</x:v>
      </x:c>
      <x:c r="D8" s="16" t="str">
        <x:v>KOL / glam makeup artist</x:v>
      </x:c>
      <x:c r="E8" s="16" t="str">
        <x:v>US, Los Angeles</x:v>
      </x:c>
      <x:c r="F8" s="16" t="str">
        <x:v>Instagram, YouTube, TikTok</x:v>
      </x:c>
      <x:c r="G8" s="17" t="str">
        <x:v>Press describes millions of followers and global beauty creator status</x:v>
      </x:c>
      <x:c r="H8" s="17" t="str">
        <x:v>Instagram DM / YouTube business inquiry / management lookup</x:v>
      </x:c>
      <x:c r="I8" s="17" t="str">
        <x:v>Social DM or management inquiry</x:v>
      </x:c>
      <x:c r="J8" s="18" t="n">
        <x:v>5</x:v>
      </x:c>
      <x:c r="K8" s="18" t="n">
        <x:v>5</x:v>
      </x:c>
      <x:c r="L8" s="18" t="n">
        <x:v>5</x:v>
      </x:c>
      <x:c r="M8" s="18" t="n">
        <x:v>4</x:v>
      </x:c>
      <x:c r="N8" s="18" t="n">
        <x:v>3</x:v>
      </x:c>
      <x:c r="O8" s="18" t="n">
        <x:v>2</x:v>
      </x:c>
      <x:c r="P8" s="19" t="n">
        <x:f>ROUND((J8*25+K8*15+L8*15+M8*15+N8*15+O8*15)/5,1)</x:f>
        <x:v>82</x:v>
      </x:c>
      <x:c r="Q8" s="16" t="str">
        <x:v>Very high</x:v>
      </x:c>
      <x:c r="R8" s="17" t="str">
        <x:v>Cinematic glam transformations and eye-focused artistry are highly compatible with premium false lash content.</x:v>
      </x:c>
      <x:c r="S8" s="17" t="str">
        <x:v>Public profiles and press describe him as a self-taught makeup artist and global beauty creator.</x:v>
      </x:c>
      <x:c r="T8" s="17" t="str">
        <x:v>https://www.famousbirthdays.com/people/paintedbyspencer.html</x:v>
      </x:c>
      <x:c r="U8" s="17" t="str">
        <x:v>https://gayety.com/spencer-hedges-beauty-and-empire</x:v>
      </x:c>
      <x:c r="V8" s="17" t="str">
        <x:v>https://www.youtube.com/@PAINTEDBYSPENCER/videos</x:v>
      </x:c>
      <x:c r="W8" s="17" t="str">
        <x:v>Use FastMoss/Kalodata or social platform analytics to validate recent short-form performance and contact route.</x:v>
      </x:c>
      <x:c r="X8" s="16" t="str">
        <x:v>Not contacted</x:v>
      </x:c>
      <x:c r="Y8" s="16" t="str"/>
      <x:c r="Z8" s="16" t="str"/>
    </x:row>
    <x:row r="9">
      <x:c r="A9" s="16" t="n">
        <x:v>8</x:v>
      </x:c>
      <x:c r="B9" s="16" t="str">
        <x:v>Bach Buquen</x:v>
      </x:c>
      <x:c r="C9" s="16" t="str">
        <x:v>@bachbuquen</x:v>
      </x:c>
      <x:c r="D9" s="16" t="str">
        <x:v>Mega KOL / Gen Z male makeup icon</x:v>
      </x:c>
      <x:c r="E9" s="16" t="str">
        <x:v>France, global Gen Z reach</x:v>
      </x:c>
      <x:c r="F9" s="16" t="str">
        <x:v>TikTok, Instagram, Snapchat</x:v>
      </x:c>
      <x:c r="G9" s="17" t="str">
        <x:v>TikTok public page: 8.9M followers, 581.8M likes</x:v>
      </x:c>
      <x:c r="H9" s="17" t="str">
        <x:v>bachbuquenteam@unitedtalent.com</x:v>
      </x:c>
      <x:c r="I9" s="17" t="str">
        <x:v>TikTok bio / UTA team email</x:v>
      </x:c>
      <x:c r="J9" s="18" t="n">
        <x:v>4</x:v>
      </x:c>
      <x:c r="K9" s="18" t="n">
        <x:v>5</x:v>
      </x:c>
      <x:c r="L9" s="18" t="n">
        <x:v>3</x:v>
      </x:c>
      <x:c r="M9" s="18" t="n">
        <x:v>5</x:v>
      </x:c>
      <x:c r="N9" s="18" t="n">
        <x:v>5</x:v>
      </x:c>
      <x:c r="O9" s="18" t="n">
        <x:v>1</x:v>
      </x:c>
      <x:c r="P9" s="19" t="n">
        <x:f>ROUND((J9*25+K9*15+L9*15+M9*15+N9*15+O9*15)/5,1)</x:f>
        <x:v>77</x:v>
      </x:c>
      <x:c r="Q9" s="16" t="str">
        <x:v>High</x:v>
      </x:c>
      <x:c r="R9" s="17" t="str">
        <x:v>Public-makeup and attractive Gen Z male image can normalize beauty products for male and female audiences; best for brand awareness, not low-cost UGC.</x:v>
      </x:c>
      <x:c r="S9" s="17" t="str">
        <x:v>TikTok bio and major media coverage describe him as a male makeup influencer/model with viral reach.</x:v>
      </x:c>
      <x:c r="T9" s="17" t="str">
        <x:v>https://www.tiktok.com/@bachbuquen</x:v>
      </x:c>
      <x:c r="U9" s="17" t="str">
        <x:v>https://www.businessoffashion.com/articles/beauty/the-hetero-tiktok-it-boy-whos-getting-men-to-wear-makeup/</x:v>
      </x:c>
      <x:c r="V9" s="17" t="str">
        <x:v>https://www.interviewmagazine.com/culture/bach-buquen</x:v>
      </x:c>
      <x:c r="W9" s="17" t="str">
        <x:v>Only pursue if budget fits; verify US audience share and brand-safety fit for false lashes.</x:v>
      </x:c>
      <x:c r="X9" s="16" t="str">
        <x:v>Not contacted</x:v>
      </x:c>
      <x:c r="Y9" s="16" t="str"/>
      <x:c r="Z9" s="16" t="str"/>
    </x:row>
    <x:row r="10">
      <x:c r="A10" s="16" t="n">
        <x:v>9</x:v>
      </x:c>
      <x:c r="B10" s="16" t="str">
        <x:v>Keagan Ludick</x:v>
      </x:c>
      <x:c r="C10" s="16" t="str">
        <x:v>@keagan-ludick / platform profile</x:v>
      </x:c>
      <x:c r="D10" s="16" t="str">
        <x:v>KOC / UGC creator</x:v>
      </x:c>
      <x:c r="E10" s="16" t="str">
        <x:v>US, Los Angeles</x:v>
      </x:c>
      <x:c r="F10" s="16" t="str">
        <x:v>TikTok, JoinBrands</x:v>
      </x:c>
      <x:c r="G10" s="17" t="str">
        <x:v>JoinBrands profile describes LA influencer focused on skincare, self-care, and breaking boy-content stereotypes</x:v>
      </x:c>
      <x:c r="H10" s="17" t="str">
        <x:v>JoinBrands platform booking</x:v>
      </x:c>
      <x:c r="I10" s="17" t="str">
        <x:v>JoinBrands profile</x:v>
      </x:c>
      <x:c r="J10" s="18" t="n">
        <x:v>3</x:v>
      </x:c>
      <x:c r="K10" s="18" t="n">
        <x:v>4</x:v>
      </x:c>
      <x:c r="L10" s="18" t="n">
        <x:v>5</x:v>
      </x:c>
      <x:c r="M10" s="18" t="n">
        <x:v>2</x:v>
      </x:c>
      <x:c r="N10" s="18" t="n">
        <x:v>4</x:v>
      </x:c>
      <x:c r="O10" s="18" t="n">
        <x:v>5</x:v>
      </x:c>
      <x:c r="P10" s="19" t="n">
        <x:f>ROUND((J10*25+K10*15+L10*15+M10*15+N10*15+O10*15)/5,1)</x:f>
        <x:v>75</x:v>
      </x:c>
      <x:c r="Q10" s="16" t="str">
        <x:v>Medium</x:v>
      </x:c>
      <x:c r="R10" s="17" t="str">
        <x:v>Good for affordable UGC tests and male self-care framing; needs concept direction to move from skincare into lashes.</x:v>
      </x:c>
      <x:c r="S10" s="17" t="str">
        <x:v>JoinBrands profile explicitly says he wants to break boy content stereotypes with skincare/self-care.</x:v>
      </x:c>
      <x:c r="T10" s="17" t="str">
        <x:v>https://joinbrands.com/@keagan-ludick</x:v>
      </x:c>
      <x:c r="U10" s="17" t="str">
        <x:v>https://www.fastmoss.com/zh/influencer/search</x:v>
      </x:c>
      <x:c r="V10" s="17" t="str">
        <x:v>https://www.kalodata.com/creator</x:v>
      </x:c>
      <x:c r="W10" s="17" t="str">
        <x:v>Verify actual TikTok handle, video quality, comfort with eye/lash product demos, and usage rights pricing.</x:v>
      </x:c>
      <x:c r="X10" s="16" t="str">
        <x:v>Not contacted</x:v>
      </x:c>
      <x:c r="Y10" s="16" t="str"/>
      <x:c r="Z10" s="16" t="str"/>
    </x:row>
    <x:row r="11">
      <x:c r="A11" s="16" t="n">
        <x:v>10</x:v>
      </x:c>
      <x:c r="B11" s="16" t="str">
        <x:v>Sebastian Vidal</x:v>
      </x:c>
      <x:c r="C11" s="16" t="str">
        <x:v>Sebastian Vidal</x:v>
      </x:c>
      <x:c r="D11" s="16" t="str">
        <x:v>UGC / micro creator</x:v>
      </x:c>
      <x:c r="E11" s="16" t="str">
        <x:v>US, New York City</x:v>
      </x:c>
      <x:c r="F11" s="16" t="str">
        <x:v>Portfolio, social platforms</x:v>
      </x:c>
      <x:c r="G11" s="17" t="str">
        <x:v>Portfolio positions him as NYC UGC creator in beauty, wellness, travel, home and lifestyle</x:v>
      </x:c>
      <x:c r="H11" s="17" t="str">
        <x:v>Website contact form</x:v>
      </x:c>
      <x:c r="I11" s="17" t="str">
        <x:v>Portfolio Get In Touch</x:v>
      </x:c>
      <x:c r="J11" s="18" t="n">
        <x:v>3</x:v>
      </x:c>
      <x:c r="K11" s="18" t="n">
        <x:v>4</x:v>
      </x:c>
      <x:c r="L11" s="18" t="n">
        <x:v>5</x:v>
      </x:c>
      <x:c r="M11" s="18" t="n">
        <x:v>2</x:v>
      </x:c>
      <x:c r="N11" s="18" t="n">
        <x:v>4</x:v>
      </x:c>
      <x:c r="O11" s="18" t="n">
        <x:v>5</x:v>
      </x:c>
      <x:c r="P11" s="19" t="n">
        <x:f>ROUND((J11*25+K11*15+L11*15+M11*15+N11*15+O11*15)/5,1)</x:f>
        <x:v>75</x:v>
      </x:c>
      <x:c r="Q11" s="16" t="str">
        <x:v>Medium</x:v>
      </x:c>
      <x:c r="R11" s="17" t="str">
        <x:v>Good UGC candidate for polished male beauty/self-care assets, testimonial videos, and paid media usage rights.</x:v>
      </x:c>
      <x:c r="S11" s="17" t="str">
        <x:v>Portfolio directly lists beauty and wellness UGC creator positioning and NYC availability.</x:v>
      </x:c>
      <x:c r="T11" s="17" t="str">
        <x:v>https://sebastiannvidal.com/</x:v>
      </x:c>
      <x:c r="U11" s="17" t="str">
        <x:v>https://www.kalodata.com/creator</x:v>
      </x:c>
      <x:c r="V11" s="17" t="str">
        <x:v>https://www.fastmoss.com/zh/influencer/search</x:v>
      </x:c>
      <x:c r="W11" s="17" t="str">
        <x:v>Confirm exact social handles, beauty video samples, quote, and whether he can produce lash application footage.</x:v>
      </x:c>
      <x:c r="X11" s="16" t="str">
        <x:v>Not contacted</x:v>
      </x:c>
      <x:c r="Y11" s="16" t="str"/>
      <x:c r="Z11" s="16" t="str"/>
    </x:row>
  </x:sheetData>
  <x:dataValidations count="1">
    <x:dataValidation type="list" sqref="X2:X11">
      <x:formula1>"Not contacted,Shortlisted,Contacted,Replied,Rejected,Negotiating"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dcce9af6c6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20" hidden="0" customWidth="1"/>
    <x:col min="4" max="4" width="2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48" hidden="0" customWidth="1"/>
    <x:col min="10" max="10" width="42" hidden="0" customWidth="1"/>
    <x:col min="11" max="11" width="52" hidden="0" customWidth="1"/>
  </x:cols>
  <x:sheetData>
    <x:row r="1">
      <x:c r="A1" s="15" t="str">
        <x:v>Rank</x:v>
      </x:c>
      <x:c r="B1" s="15" t="str">
        <x:v>Creator</x:v>
      </x:c>
      <x:c r="C1" s="15" t="str">
        <x:v>Handle</x:v>
      </x:c>
      <x:c r="D1" s="15" t="str">
        <x:v>Tier</x:v>
      </x:c>
      <x:c r="E1" s="15" t="str">
        <x:v>Public Contact</x:v>
      </x:c>
      <x:c r="F1" s="15" t="str">
        <x:v>Weighted Score</x:v>
      </x:c>
      <x:c r="G1" s="15" t="str">
        <x:v>Lash Fit</x:v>
      </x:c>
      <x:c r="H1" s="15" t="str">
        <x:v>Best Use</x:v>
      </x:c>
      <x:c r="I1" s="15" t="str">
        <x:v>Key Reason</x:v>
      </x:c>
      <x:c r="J1" s="15" t="str">
        <x:v>Primary Source</x:v>
      </x:c>
      <x:c r="K1" s="15" t="str">
        <x:v>Need Platform Check</x:v>
      </x:c>
    </x:row>
    <x:row r="2">
      <x:c r="A2" s="16" t="n">
        <x:v>1</x:v>
      </x:c>
      <x:c r="B2" s="16" t="str">
        <x:v>Trevor Barrett</x:v>
      </x:c>
      <x:c r="C2" s="16" t="str">
        <x:v>@trevorbarrett</x:v>
      </x:c>
      <x:c r="D2" s="16" t="str">
        <x:v>KOL / educator</x:v>
      </x:c>
      <x:c r="E2" s="16" t="str">
        <x:v>trevor@thelilacagency.com</x:v>
      </x:c>
      <x:c r="F2" s="20" t="n">
        <x:f>'Recommended_10'!P2</x:f>
        <x:v>94</x:v>
      </x:c>
      <x:c r="G2" s="16" t="str">
        <x:v>Very high</x:v>
      </x:c>
      <x:c r="H2" s="16" t="str">
        <x:v>Awareness / KOL</x:v>
      </x:c>
      <x:c r="I2" s="17" t="str">
        <x:v>Makeup teacher positioning is ideal for tutorial-led false lash content: application, beginner tips, lash style comparisons, and problem-solution demos.</x:v>
      </x:c>
      <x:c r="J2" s="17" t="str">
        <x:v>https://www.tiktok.com/@trevorbarrett</x:v>
      </x:c>
      <x:c r="K2" s="17" t="str">
        <x:v>Verify recent 30-day beauty video views, US female audience share, lash/eye content history, and commerce conversion on FastMoss/Kalodata.</x:v>
      </x:c>
    </x:row>
    <x:row r="3">
      <x:c r="A3" s="16" t="n">
        <x:v>2</x:v>
      </x:c>
      <x:c r="B3" s="16" t="str">
        <x:v>Brayan</x:v>
      </x:c>
      <x:c r="C3" s="16" t="str">
        <x:v>@brayannbc</x:v>
      </x:c>
      <x:c r="D3" s="16" t="str">
        <x:v>KOL / beauty MUA</x:v>
      </x:c>
      <x:c r="E3" s="16" t="str">
        <x:v>bbc.business@hotmail.com</x:v>
      </x:c>
      <x:c r="F3" s="20" t="n">
        <x:f>'Recommended_10'!P3</x:f>
        <x:v>94</x:v>
      </x:c>
      <x:c r="G3" s="16" t="str">
        <x:v>Very high</x:v>
      </x:c>
      <x:c r="H3" s="16" t="str">
        <x:v>Awareness / KOL</x:v>
      </x:c>
      <x:c r="I3" s="17" t="str">
        <x:v>Dynamic makeup tutorials and product reviews fit lash transformation content; Spanish/Latino US audience can broaden US TikTok Shop reach.</x:v>
      </x:c>
      <x:c r="J3" s="17" t="str">
        <x:v>https://www.tiktok.com/@brayannbc</x:v>
      </x:c>
      <x:c r="K3" s="17" t="str">
        <x:v>Verify US audience mix, beauty category performance, recent sponsored content, and TikTok Shop affiliate history.</x:v>
      </x:c>
    </x:row>
    <x:row r="4">
      <x:c r="A4" s="16" t="n">
        <x:v>3</x:v>
      </x:c>
      <x:c r="B4" s="16" t="str">
        <x:v>Aditya Madiraju</x:v>
      </x:c>
      <x:c r="C4" s="16" t="str">
        <x:v>@adityamadiraju</x:v>
      </x:c>
      <x:c r="D4" s="16" t="str">
        <x:v>KOL / certified MUA</x:v>
      </x:c>
      <x:c r="E4" s="16" t="str">
        <x:v>haley.walsh@thedigitalbrandarchitects.com</x:v>
      </x:c>
      <x:c r="F4" s="20" t="n">
        <x:f>'Recommended_10'!P4</x:f>
        <x:v>91</x:v>
      </x:c>
      <x:c r="G4" s="16" t="str">
        <x:v>Very high</x:v>
      </x:c>
      <x:c r="H4" s="16" t="str">
        <x:v>Awareness / KOL</x:v>
      </x:c>
      <x:c r="I4" s="17" t="str">
        <x:v>Full-glam and technique-led makeup content is a direct match for false lash education, before-after, and premium beauty storytelling.</x:v>
      </x:c>
      <x:c r="J4" s="17" t="str">
        <x:v>https://www.instagram.com/adityamadiraju/</x:v>
      </x:c>
      <x:c r="K4" s="17" t="str">
        <x:v>Verify audience age/gender, short-video views on eye looks, and expected CPM/fee before outreach.</x:v>
      </x:c>
    </x:row>
    <x:row r="5">
      <x:c r="A5" s="16" t="n">
        <x:v>4</x:v>
      </x:c>
      <x:c r="B5" s="16" t="str">
        <x:v>Abdullah Zaidi</x:v>
      </x:c>
      <x:c r="C5" s="16" t="str">
        <x:v>@thisguyabdullah</x:v>
      </x:c>
      <x:c r="D5" s="16" t="str">
        <x:v>Emerging KOL / beauty-comedy crossover</x:v>
      </x:c>
      <x:c r="E5" s="16" t="str">
        <x:v>management@thisguyabdullah.com</x:v>
      </x:c>
      <x:c r="F5" s="20" t="n">
        <x:f>'Recommended_10'!P5</x:f>
        <x:v>86</x:v>
      </x:c>
      <x:c r="G5" s="16" t="str">
        <x:v>High</x:v>
      </x:c>
      <x:c r="H5" s="16" t="str">
        <x:v>Mid-tier collab</x:v>
      </x:c>
      <x:c r="I5" s="17" t="str">
        <x:v>Straight male beauty journey angle can reduce category barriers and make false lashes feel approachable for broader Gen Z audiences.</x:v>
      </x:c>
      <x:c r="J5" s="17" t="str">
        <x:v>https://www.instagram.com/thisguyabdullah/</x:v>
      </x:c>
      <x:c r="K5" s="17" t="str">
        <x:v>Verify US follower share, beauty video engagement, and whether lash content fits his current content tone.</x:v>
      </x:c>
    </x:row>
    <x:row r="6">
      <x:c r="A6" s="16" t="n">
        <x:v>5</x:v>
      </x:c>
      <x:c r="B6" s="16" t="str">
        <x:v>CheckoutJon / Jon Richardson</x:v>
      </x:c>
      <x:c r="C6" s="16" t="str">
        <x:v>@CheckoutJon</x:v>
      </x:c>
      <x:c r="D6" s="16" t="str">
        <x:v>KOC / grooming-beauty creator</x:v>
      </x:c>
      <x:c r="E6" s="16" t="str">
        <x:v>Jon@Checkoutjon.com</x:v>
      </x:c>
      <x:c r="F6" s="20" t="n">
        <x:f>'Recommended_10'!P6</x:f>
        <x:v>89</x:v>
      </x:c>
      <x:c r="G6" s="16" t="str">
        <x:v>Medium-high</x:v>
      </x:c>
      <x:c r="H6" s="16" t="str">
        <x:v>UGC/KOC test</x:v>
      </x:c>
      <x:c r="I6" s="17" t="str">
        <x:v>Male self-care and grooming angle is useful for soft-launching lashes as confidence/self-care rather than only glam makeup.</x:v>
      </x:c>
      <x:c r="J6" s="17" t="str">
        <x:v>https://www.checkoutjon.com/partnerships</x:v>
      </x:c>
      <x:c r="K6" s="17" t="str">
        <x:v>Verify whether recent audience responds to makeup/eye-product content, not only skincare and grooming.</x:v>
      </x:c>
    </x:row>
    <x:row r="7">
      <x:c r="A7" s="16" t="n">
        <x:v>6</x:v>
      </x:c>
      <x:c r="B7" s="16" t="str">
        <x:v>Seth O'Brien</x:v>
      </x:c>
      <x:c r="C7" s="16" t="str">
        <x:v>@sethobrien</x:v>
      </x:c>
      <x:c r="D7" s="16" t="str">
        <x:v>KOL / beauty personality</x:v>
      </x:c>
      <x:c r="E7" s="16" t="str">
        <x:v>Platform DM; public email requires identity verification</x:v>
      </x:c>
      <x:c r="F7" s="20" t="n">
        <x:f>'Recommended_10'!P7</x:f>
        <x:v>85</x:v>
      </x:c>
      <x:c r="G7" s="16" t="str">
        <x:v>Very high</x:v>
      </x:c>
      <x:c r="H7" s="16" t="str">
        <x:v>Awareness / KOL</x:v>
      </x:c>
      <x:c r="I7" s="17" t="str">
        <x:v>Beauty and makeup tutorial/comedy content can make false lash demos entertaining and viral-friendly.</x:v>
      </x:c>
      <x:c r="J7" s="17" t="str">
        <x:v>https://wiki.sportskeeda.com/tiktok/who-is-seth-obrien</x:v>
      </x:c>
      <x:c r="K7" s="17" t="str">
        <x:v>Confirm official current handle, business contact, US audience share, and recent makeup/lash content before outreach.</x:v>
      </x:c>
    </x:row>
    <x:row r="8">
      <x:c r="A8" s="16" t="n">
        <x:v>7</x:v>
      </x:c>
      <x:c r="B8" s="16" t="str">
        <x:v>Painted by Spencer / Spencer Hedges</x:v>
      </x:c>
      <x:c r="C8" s="16" t="str">
        <x:v>@paintedbyspencer</x:v>
      </x:c>
      <x:c r="D8" s="16" t="str">
        <x:v>KOL / glam makeup artist</x:v>
      </x:c>
      <x:c r="E8" s="16" t="str">
        <x:v>Instagram DM / YouTube business inquiry / management lookup</x:v>
      </x:c>
      <x:c r="F8" s="20" t="n">
        <x:f>'Recommended_10'!P8</x:f>
        <x:v>82</x:v>
      </x:c>
      <x:c r="G8" s="16" t="str">
        <x:v>Very high</x:v>
      </x:c>
      <x:c r="H8" s="16" t="str">
        <x:v>Mid-tier collab</x:v>
      </x:c>
      <x:c r="I8" s="17" t="str">
        <x:v>Cinematic glam transformations and eye-focused artistry are highly compatible with premium false lash content.</x:v>
      </x:c>
      <x:c r="J8" s="17" t="str">
        <x:v>https://www.famousbirthdays.com/people/paintedbyspencer.html</x:v>
      </x:c>
      <x:c r="K8" s="17" t="str">
        <x:v>Use FastMoss/Kalodata or social platform analytics to validate recent short-form performance and contact route.</x:v>
      </x:c>
    </x:row>
    <x:row r="9">
      <x:c r="A9" s="16" t="n">
        <x:v>8</x:v>
      </x:c>
      <x:c r="B9" s="16" t="str">
        <x:v>Bach Buquen</x:v>
      </x:c>
      <x:c r="C9" s="16" t="str">
        <x:v>@bachbuquen</x:v>
      </x:c>
      <x:c r="D9" s="16" t="str">
        <x:v>Mega KOL / Gen Z male makeup icon</x:v>
      </x:c>
      <x:c r="E9" s="16" t="str">
        <x:v>bachbuquenteam@unitedtalent.com</x:v>
      </x:c>
      <x:c r="F9" s="20" t="n">
        <x:f>'Recommended_10'!P9</x:f>
        <x:v>77</x:v>
      </x:c>
      <x:c r="G9" s="16" t="str">
        <x:v>High</x:v>
      </x:c>
      <x:c r="H9" s="16" t="str">
        <x:v>Awareness / KOL</x:v>
      </x:c>
      <x:c r="I9" s="17" t="str">
        <x:v>Public-makeup and attractive Gen Z male image can normalize beauty products for male and female audiences; best for brand awareness, not low-cost UGC.</x:v>
      </x:c>
      <x:c r="J9" s="17" t="str">
        <x:v>https://www.tiktok.com/@bachbuquen</x:v>
      </x:c>
      <x:c r="K9" s="17" t="str">
        <x:v>Only pursue if budget fits; verify US audience share and brand-safety fit for false lashes.</x:v>
      </x:c>
    </x:row>
    <x:row r="10">
      <x:c r="A10" s="16" t="n">
        <x:v>9</x:v>
      </x:c>
      <x:c r="B10" s="16" t="str">
        <x:v>Keagan Ludick</x:v>
      </x:c>
      <x:c r="C10" s="16" t="str">
        <x:v>@keagan-ludick / platform profile</x:v>
      </x:c>
      <x:c r="D10" s="16" t="str">
        <x:v>KOC / UGC creator</x:v>
      </x:c>
      <x:c r="E10" s="16" t="str">
        <x:v>JoinBrands platform booking</x:v>
      </x:c>
      <x:c r="F10" s="20" t="n">
        <x:f>'Recommended_10'!P10</x:f>
        <x:v>75</x:v>
      </x:c>
      <x:c r="G10" s="16" t="str">
        <x:v>Medium</x:v>
      </x:c>
      <x:c r="H10" s="16" t="str">
        <x:v>UGC/KOC test</x:v>
      </x:c>
      <x:c r="I10" s="17" t="str">
        <x:v>Good for affordable UGC tests and male self-care framing; needs concept direction to move from skincare into lashes.</x:v>
      </x:c>
      <x:c r="J10" s="17" t="str">
        <x:v>https://joinbrands.com/@keagan-ludick</x:v>
      </x:c>
      <x:c r="K10" s="17" t="str">
        <x:v>Verify actual TikTok handle, video quality, comfort with eye/lash product demos, and usage rights pricing.</x:v>
      </x:c>
    </x:row>
    <x:row r="11">
      <x:c r="A11" s="16" t="n">
        <x:v>10</x:v>
      </x:c>
      <x:c r="B11" s="16" t="str">
        <x:v>Sebastian Vidal</x:v>
      </x:c>
      <x:c r="C11" s="16" t="str">
        <x:v>Sebastian Vidal</x:v>
      </x:c>
      <x:c r="D11" s="16" t="str">
        <x:v>UGC / micro creator</x:v>
      </x:c>
      <x:c r="E11" s="16" t="str">
        <x:v>Website contact form</x:v>
      </x:c>
      <x:c r="F11" s="20" t="n">
        <x:f>'Recommended_10'!P11</x:f>
        <x:v>75</x:v>
      </x:c>
      <x:c r="G11" s="16" t="str">
        <x:v>Medium</x:v>
      </x:c>
      <x:c r="H11" s="16" t="str">
        <x:v>UGC/KOC test</x:v>
      </x:c>
      <x:c r="I11" s="17" t="str">
        <x:v>Good UGC candidate for polished male beauty/self-care assets, testimonial videos, and paid media usage rights.</x:v>
      </x:c>
      <x:c r="J11" s="17" t="str">
        <x:v>https://sebastiannvidal.com/</x:v>
      </x:c>
      <x:c r="K11" s="17" t="str">
        <x:v>Confirm exact social handles, beauty video samples, quote, and whether he can produce lash application footage.</x:v>
      </x:c>
    </x:row>
  </x:sheetData>
  <x:pageMargins left="0.7" right="0.7" top="0.75" bottom="0.75" header="0.3" footer="0.3"/>
  <x:tableParts count="1">
    <x:tablePart xmlns:r="http://schemas.openxmlformats.org/officeDocument/2006/relationships" r:id="R9012966059a643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80" hidden="0" customWidth="1"/>
    <x:col min="1" max="1" width="24" hidden="0" customWidth="1"/>
    <x:col min="2" max="2" width="24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21" t="str">
        <x:v>Use Case</x:v>
      </x:c>
      <x:c r="B1" s="21" t="str">
        <x:v>Subject / Hook</x:v>
      </x:c>
      <x:c r="C1" s="21" t="str">
        <x:v>Message Template</x:v>
      </x:c>
      <x:c r="D1" s="21" t="str">
        <x:v>Best For</x:v>
      </x:c>
      <x:c r="E1" s="21" t="str">
        <x:v>Follow-up Timing</x:v>
      </x:c>
      <x:c r="F1" s="21" t="str">
        <x:v>Notes</x:v>
      </x:c>
    </x:row>
    <x:row r="2">
      <x:c r="A2" s="17" t="str">
        <x:v>KOL educator</x:v>
      </x:c>
      <x:c r="B2" s="17" t="str">
        <x:v>False lash tutorial collaboration for your beauty audience</x:v>
      </x:c>
      <x:c r="C2" s="17" t="str">
        <x:v>Hi {Name}, I am {Your Name}, BD for a US TikTok Shop false lash brand. I loved your makeup education content, especially how clearly you explain application details. We would like to explore a paid tutorial or try-on collaboration around lightweight false lashes for everyday and glam looks. Could you share your rate card, TikTok/IG deliverable options, and usage-rights pricing?</x:v>
      </x:c>
      <x:c r="D2" s="17" t="str">
        <x:v>Trevor, Aditya, Spencer</x:v>
      </x:c>
      <x:c r="E2" s="17" t="str">
        <x:v>3 business days</x:v>
      </x:c>
      <x:c r="F2" s="17" t="str">
        <x:v>Ask for usage rights and raw footage separately.</x:v>
      </x:c>
    </x:row>
    <x:row r="3">
      <x:c r="A3" s="17" t="str">
        <x:v>Gen Z beauty personality</x:v>
      </x:c>
      <x:c r="B3" s="17" t="str">
        <x:v>Testing genderless lash looks with your audience</x:v>
      </x:c>
      <x:c r="C3" s="17" t="str">
        <x:v>Hi {Name}, we are looking for creators who can make eye makeup and lashes feel fun, wearable, and approachable. Your content style fits that direction well. Would you be open to testing a few lash styles and creating one short try-on video plus one organic-style UGC asset?</x:v>
      </x:c>
      <x:c r="D3" s="17" t="str">
        <x:v>Abdullah, Bach, Seth, Brayan</x:v>
      </x:c>
      <x:c r="E3" s="17" t="str">
        <x:v>2-3 business days</x:v>
      </x:c>
      <x:c r="F3" s="17" t="str">
        <x:v>For mega KOLs, route through management first.</x:v>
      </x:c>
    </x:row>
    <x:row r="4">
      <x:c r="A4" s="17" t="str">
        <x:v>KOC / UGC</x:v>
      </x:c>
      <x:c r="B4" s="17" t="str">
        <x:v>UGC brief: natural false lash demo for paid social</x:v>
      </x:c>
      <x:c r="C4" s="17" t="str">
        <x:v>Hi {Name}, we are sourcing male beauty/self-care creators for a false lash UGC test. The brief is simple: unboxing, close-up application, before/after, comfort claim, and final look. Can you quote 2 vertical videos, 15-30 seconds each, with 6-month paid usage rights?</x:v>
      </x:c>
      <x:c r="D4" s="17" t="str">
        <x:v>CheckoutJon, Keagan, Sebastian</x:v>
      </x:c>
      <x:c r="E4" s="17" t="str">
        <x:v>2 business days</x:v>
      </x:c>
      <x:c r="F4" s="17" t="str">
        <x:v>Good first round for cost-efficient creative testing.</x:v>
      </x:c>
    </x:row>
    <x:row r="5">
      <x:c r="A5" s="17" t="str">
        <x:v>Data request</x:v>
      </x:c>
      <x:c r="B5" s="17" t="str">
        <x:v>Quick data check before collaboration</x:v>
      </x:c>
      <x:c r="C5" s="17" t="str">
        <x:v>Before confirming, could you share recent 30-day average views, audience country split, gender split, age range, and any beauty/TikTok Shop affiliate performance you can disclose?</x:v>
      </x:c>
      <x:c r="D5" s="17" t="str">
        <x:v>All creators</x:v>
      </x:c>
      <x:c r="E5" s="17" t="str">
        <x:v>After reply</x:v>
      </x:c>
      <x:c r="F5" s="17" t="str">
        <x:v>Compare against FastMoss/Kalodata when logged in.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21" t="str">
        <x:v>Step</x:v>
      </x:c>
      <x:c r="B1" s="21" t="str">
        <x:v>FastMoss / Kalodata Action</x:v>
      </x:c>
      <x:c r="C1" s="21" t="str">
        <x:v>Field to Capture</x:v>
      </x:c>
      <x:c r="D1" s="21" t="str">
        <x:v>Why It Matters</x:v>
      </x:c>
      <x:c r="E1" s="21" t="str">
        <x:v>Decision Rule</x:v>
      </x:c>
    </x:row>
    <x:row r="2">
      <x:c r="A2" s="16" t="n">
        <x:v>1</x:v>
      </x:c>
      <x:c r="B2" s="16" t="str">
        <x:v>Open Creator / Influencer search</x:v>
      </x:c>
      <x:c r="C2" s="16" t="str">
        <x:v>Creator handle</x:v>
      </x:c>
      <x:c r="D2" s="16" t="str">
        <x:v>Confirm official account and avoid duplicates</x:v>
      </x:c>
      <x:c r="E2" s="16" t="str">
        <x:v>Match exact handle before outreach</x:v>
      </x:c>
    </x:row>
    <x:row r="3">
      <x:c r="A3" s="16" t="n">
        <x:v>2</x:v>
      </x:c>
      <x:c r="B3" s="16" t="str">
        <x:v>Filter market</x:v>
      </x:c>
      <x:c r="C3" s="16" t="str">
        <x:v>US audience %, US/CA reach</x:v>
      </x:c>
      <x:c r="D3" s="16" t="str">
        <x:v>US BD relevance</x:v>
      </x:c>
      <x:c r="E3" s="16" t="str">
        <x:v>Prefer high US share; keep global KOL only for awareness</x:v>
      </x:c>
    </x:row>
    <x:row r="4">
      <x:c r="A4" s="16" t="n">
        <x:v>3</x:v>
      </x:c>
      <x:c r="B4" s="16" t="str">
        <x:v>Filter category</x:v>
      </x:c>
      <x:c r="C4" s="16" t="str">
        <x:v>Beauty / makeup / skincare / grooming</x:v>
      </x:c>
      <x:c r="D4" s="16" t="str">
        <x:v>Product fit</x:v>
      </x:c>
      <x:c r="E4" s="16" t="str">
        <x:v>Reject if no recent beauty/self-care content</x:v>
      </x:c>
    </x:row>
    <x:row r="5">
      <x:c r="A5" s="16" t="n">
        <x:v>4</x:v>
      </x:c>
      <x:c r="B5" s="16" t="str">
        <x:v>Review recent videos</x:v>
      </x:c>
      <x:c r="C5" s="16" t="str">
        <x:v>30-day views, median views, viral spikes</x:v>
      </x:c>
      <x:c r="D5" s="16" t="str">
        <x:v>Avoid outdated followers</x:v>
      </x:c>
      <x:c r="E5" s="16" t="str">
        <x:v>Prefer stable median views plus recent activity</x:v>
      </x:c>
    </x:row>
    <x:row r="6">
      <x:c r="A6" s="16" t="n">
        <x:v>5</x:v>
      </x:c>
      <x:c r="B6" s="16" t="str">
        <x:v>Review engagement</x:v>
      </x:c>
      <x:c r="C6" s="16" t="str">
        <x:v>Like/comment/share/save rate</x:v>
      </x:c>
      <x:c r="D6" s="16" t="str">
        <x:v>Creative resonance</x:v>
      </x:c>
      <x:c r="E6" s="16" t="str">
        <x:v>Check comments for purchase intent and lash/eye questions</x:v>
      </x:c>
    </x:row>
    <x:row r="7">
      <x:c r="A7" s="16" t="n">
        <x:v>6</x:v>
      </x:c>
      <x:c r="B7" s="16" t="str">
        <x:v>Search keywords</x:v>
      </x:c>
      <x:c r="C7" s="16" t="str">
        <x:v>lash, lashes, eye makeup, mascara, glam, tutorial</x:v>
      </x:c>
      <x:c r="D7" s="16" t="str">
        <x:v>False lash relevance</x:v>
      </x:c>
      <x:c r="E7" s="16" t="str">
        <x:v>Prioritize creators with eye-product content</x:v>
      </x:c>
    </x:row>
    <x:row r="8">
      <x:c r="A8" s="16" t="n">
        <x:v>7</x:v>
      </x:c>
      <x:c r="B8" s="16" t="str">
        <x:v>Review commerce history</x:v>
      </x:c>
      <x:c r="C8" s="16" t="str">
        <x:v>TikTok Shop affiliate, brands, GMV if available</x:v>
      </x:c>
      <x:c r="D8" s="16" t="str">
        <x:v>Conversion likelihood</x:v>
      </x:c>
      <x:c r="E8" s="16" t="str">
        <x:v>Prioritize proven affiliate creators</x:v>
      </x:c>
    </x:row>
    <x:row r="9">
      <x:c r="A9" s="16" t="n">
        <x:v>8</x:v>
      </x:c>
      <x:c r="B9" s="16" t="str">
        <x:v>Review brand safety</x:v>
      </x:c>
      <x:c r="C9" s="16" t="str">
        <x:v>Controversy, adult themes, politics risk</x:v>
      </x:c>
      <x:c r="D9" s="16" t="str">
        <x:v>Avoid campaign risk</x:v>
      </x:c>
      <x:c r="E9" s="16" t="str">
        <x:v>Exclude high-risk creators</x:v>
      </x:c>
    </x:row>
    <x:row r="10">
      <x:c r="A10" s="16" t="n">
        <x:v>9</x:v>
      </x:c>
      <x:c r="B10" s="16" t="str">
        <x:v>Estimate cost</x:v>
      </x:c>
      <x:c r="C10" s="16" t="str">
        <x:v>Rate card, agency fee, UGC usage rights</x:v>
      </x:c>
      <x:c r="D10" s="16" t="str">
        <x:v>Budget planning</x:v>
      </x:c>
      <x:c r="E10" s="16" t="str">
        <x:v>Start with KOC/UGC for creative tests</x:v>
      </x:c>
    </x:row>
    <x:row r="11">
      <x:c r="A11" s="16" t="n">
        <x:v>10</x:v>
      </x:c>
      <x:c r="B11" s="16" t="str">
        <x:v>Prepare outreach</x:v>
      </x:c>
      <x:c r="C11" s="16" t="str">
        <x:v>Email/DM, agency, platform booking</x:v>
      </x:c>
      <x:c r="D11" s="16" t="str">
        <x:v>Execution</x:v>
      </x:c>
      <x:c r="E11" s="16" t="str">
        <x:v>Use public route only</x:v>
      </x:c>
    </x:row>
    <x:row r="12">
      <x:c r="A12" s="16" t="n">
        <x:v>11</x:v>
      </x:c>
      <x:c r="B12" s="16" t="str">
        <x:v>Track status</x:v>
      </x:c>
      <x:c r="C12" s="16" t="str">
        <x:v>Contacted/replied/quote/sample sent</x:v>
      </x:c>
      <x:c r="D12" s="16" t="str">
        <x:v>BD pipeline</x:v>
      </x:c>
      <x:c r="E12" s="16" t="str">
        <x:v>Update Recommended_10 sheet</x:v>
      </x:c>
    </x:row>
    <x:row r="13">
      <x:c r="A13" s="16" t="n">
        <x:v>12</x:v>
      </x:c>
      <x:c r="B13" s="16" t="str">
        <x:v>Post-campaign</x:v>
      </x:c>
      <x:c r="C13" s="16" t="str">
        <x:v>Views, CTR, CVR, GMV, CAC</x:v>
      </x:c>
      <x:c r="D13" s="16" t="str">
        <x:v>Learning loop</x:v>
      </x:c>
      <x:c r="E13" s="16" t="str">
        <x:v>Feed results back into creator score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27.5" hidden="0" customWidth="1"/>
    <x:col min="3" max="3" width="8.380000114440918" hidden="0" customWidth="1"/>
    <x:col min="4" max="4" width="54" hidden="0" customWidth="1"/>
    <x:col min="5" max="5" width="44.380001068115234" hidden="0" customWidth="1"/>
  </x:cols>
  <x:sheetData>
    <x:row r="1">
      <x:c r="A1" s="21" t="str">
        <x:v>Creator</x:v>
      </x:c>
      <x:c r="B1" s="21" t="str">
        <x:v>Positioning</x:v>
      </x:c>
      <x:c r="C1" s="21" t="str">
        <x:v>Market</x:v>
      </x:c>
      <x:c r="D1" s="21" t="str">
        <x:v>Source</x:v>
      </x:c>
      <x:c r="E1" s="21" t="str">
        <x:v>Why Backup</x:v>
      </x:c>
    </x:row>
    <x:row r="2">
      <x:c r="A2" s="16" t="str">
        <x:v>Giordano Dal Bon</x:v>
      </x:c>
      <x:c r="B2" s="16" t="str">
        <x:v>Men's beauty/grooming UGC expert</x:v>
      </x:c>
      <x:c r="C2" s="16" t="str">
        <x:v>Italy</x:v>
      </x:c>
      <x:c r="D2" s="16" t="str">
        <x:v>https://psychelicht.com/en/giordano-dal-bon-mens-beauty-ugc-creator-italy/</x:v>
      </x:c>
      <x:c r="E2" s="16" t="str">
        <x:v>Good backup for UGC if US-only requirement is relaxed.</x:v>
      </x:c>
    </x:row>
    <x:row r="3">
      <x:c r="A3" s="16" t="str">
        <x:v>Nicholas Cicio</x:v>
      </x:c>
      <x:c r="B3" s="16" t="str">
        <x:v>Male UGC content creator</x:v>
      </x:c>
      <x:c r="C3" s="16" t="str">
        <x:v>US / travel</x:v>
      </x:c>
      <x:c r="D3" s="16" t="str">
        <x:v>http://nicholascreatesllc.com/</x:v>
      </x:c>
      <x:c r="E3" s="16" t="str">
        <x:v>Potential UGC backup; verify beauty category examples.</x:v>
      </x:c>
    </x:row>
    <x:row r="4">
      <x:c r="A4" s="16" t="str">
        <x:v>Bretman Rock</x:v>
      </x:c>
      <x:c r="B4" s="16" t="str">
        <x:v>Mega male beauty/lifestyle creator</x:v>
      </x:c>
      <x:c r="C4" s="16" t="str">
        <x:v>US/Hawaii</x:v>
      </x:c>
      <x:c r="D4" s="16" t="str">
        <x:v>https://influencers.feedspot.com/male_makeup_instagram_influencers/</x:v>
      </x:c>
      <x:c r="E4" s="16" t="str">
        <x:v>Too expensive for first outreach but useful for benchmark.</x:v>
      </x:c>
    </x:row>
    <x:row r="5">
      <x:c r="A5" s="16" t="str">
        <x:v>Manny MUA</x:v>
      </x:c>
      <x:c r="B5" s="16" t="str">
        <x:v>Mega male beauty founder/MUA</x:v>
      </x:c>
      <x:c r="C5" s="16" t="str">
        <x:v>US</x:v>
      </x:c>
      <x:c r="D5" s="16" t="str">
        <x:v>https://www.instagram.com/mannymua733/</x:v>
      </x:c>
      <x:c r="E5" s="16" t="str">
        <x:v>Good benchmark or paid partnership only if budget is high.</x:v>
      </x:c>
    </x:row>
    <x:row r="6">
      <x:c r="A6" s="16" t="str">
        <x:v>Patrick Starrr</x:v>
      </x:c>
      <x:c r="B6" s="16" t="str">
        <x:v>Mega beauty creator/founder</x:v>
      </x:c>
      <x:c r="C6" s="16" t="str">
        <x:v>US</x:v>
      </x:c>
      <x:c r="D6" s="16" t="str">
        <x:v>https://www.instagram.com/patrickstarrr/</x:v>
      </x:c>
      <x:c r="E6" s="16" t="str">
        <x:v>Good awareness benchmark; likely high fee.</x:v>
      </x:c>
    </x:row>
  </x:sheetData>
  <x:pageMargins left="0.7" right="0.7" top="0.75" bottom="0.75" header="0.3" footer="0.3"/>
</x:worksheet>
</file>